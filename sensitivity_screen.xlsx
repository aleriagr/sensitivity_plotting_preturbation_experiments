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ri\Sigman Group Dropbox\Aleria Garcia Roca\6. Computations\Modeling\alKyl_BOE_fluorination\pre-BO robustness analysis\"/>
    </mc:Choice>
  </mc:AlternateContent>
  <xr:revisionPtr revIDLastSave="0" documentId="13_ncr:1_{68C24E43-C4A8-48E9-8A4E-D0E232659315}" xr6:coauthVersionLast="47" xr6:coauthVersionMax="47" xr10:uidLastSave="{00000000-0000-0000-0000-000000000000}"/>
  <bookViews>
    <workbookView xWindow="-120" yWindow="-120" windowWidth="29040" windowHeight="15840" activeTab="1" xr2:uid="{0E137538-F8B1-471B-B791-2FD19E7CA4C9}"/>
  </bookViews>
  <sheets>
    <sheet name="Sheet1_C1" sheetId="2" r:id="rId1"/>
    <sheet name="Sheet1_C2" sheetId="3" r:id="rId2"/>
    <sheet name="Sheet1_C3" sheetId="4" r:id="rId3"/>
    <sheet name="Example" sheetId="1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3" l="1"/>
  <c r="C6" i="3"/>
  <c r="C5" i="3"/>
  <c r="C4" i="3"/>
  <c r="C3" i="3"/>
  <c r="C2" i="3"/>
</calcChain>
</file>

<file path=xl/sharedStrings.xml><?xml version="1.0" encoding="utf-8"?>
<sst xmlns="http://schemas.openxmlformats.org/spreadsheetml/2006/main" count="48" uniqueCount="24">
  <si>
    <t>Condition</t>
  </si>
  <si>
    <t>Yield</t>
  </si>
  <si>
    <t>Reference</t>
  </si>
  <si>
    <t>High c</t>
  </si>
  <si>
    <t>Low c</t>
  </si>
  <si>
    <t>H₂O</t>
  </si>
  <si>
    <t>Low O₂</t>
  </si>
  <si>
    <t>High O₂</t>
  </si>
  <si>
    <t>Low T</t>
  </si>
  <si>
    <t>High T</t>
  </si>
  <si>
    <t>Low p</t>
  </si>
  <si>
    <t>Selectivity</t>
  </si>
  <si>
    <t>Conversion</t>
  </si>
  <si>
    <t>low cat load</t>
  </si>
  <si>
    <t>low T</t>
  </si>
  <si>
    <t>low conc</t>
  </si>
  <si>
    <t>DIPEA</t>
  </si>
  <si>
    <t>high cat load</t>
  </si>
  <si>
    <r>
      <t>no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</si>
  <si>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2eq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</si>
  <si>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t>Ratio FP/deboro</t>
  </si>
  <si>
    <t>Yield F</t>
  </si>
  <si>
    <t>Yield byproducts</t>
  </si>
  <si>
    <r>
      <t>excess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</si>
</sst>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33959</xdr:rowOff>
    </xdr:from>
    <xdr:to>
      <xdr:col>12</xdr:col>
      <xdr:colOff>481331</xdr:colOff>
      <xdr:row>17</xdr:row>
      <xdr:rowOff>135924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BBB793A-11D3-4F2F-97CC-3295F9957DAF}"/>
            </a:ext>
          </a:extLst>
        </xdr:cNvPr>
        <xdr:cNvSpPr txBox="1"/>
      </xdr:nvSpPr>
      <xdr:spPr>
        <a:xfrm>
          <a:off x="5227983" y="514350"/>
          <a:ext cx="4786631" cy="314996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PdL</a:t>
          </a:r>
          <a:r>
            <a:rPr lang="ca-ES" sz="1400" baseline="-25000">
              <a:latin typeface="Arial" panose="020B0604020202020204" pitchFamily="34" charset="0"/>
              <a:cs typeface="Arial" panose="020B0604020202020204" pitchFamily="34" charset="0"/>
            </a:rPr>
            <a:t>N3</a:t>
          </a: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 catalyst	= 10</a:t>
          </a:r>
        </a:p>
        <a:p>
          <a:pPr>
            <a:lnSpc>
              <a:spcPct val="150000"/>
            </a:lnSpc>
          </a:pP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Bidentate L</a:t>
          </a:r>
          <a:r>
            <a:rPr lang="ca-ES" sz="1400" baseline="-25000">
              <a:latin typeface="Arial" panose="020B0604020202020204" pitchFamily="34" charset="0"/>
              <a:cs typeface="Arial" panose="020B0604020202020204" pitchFamily="34" charset="0"/>
            </a:rPr>
            <a:t>N2</a:t>
          </a: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	= 13</a:t>
          </a:r>
        </a:p>
        <a:p>
          <a:pPr>
            <a:lnSpc>
              <a:spcPct val="150000"/>
            </a:lnSpc>
          </a:pP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PdL</a:t>
          </a:r>
          <a:r>
            <a:rPr lang="ca-ES" sz="1400" baseline="-25000">
              <a:latin typeface="Arial" panose="020B0604020202020204" pitchFamily="34" charset="0"/>
              <a:cs typeface="Arial" panose="020B0604020202020204" pitchFamily="34" charset="0"/>
            </a:rPr>
            <a:t>N3</a:t>
          </a: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/L</a:t>
          </a:r>
          <a:r>
            <a:rPr lang="ca-ES" sz="1400" baseline="-25000">
              <a:latin typeface="Arial" panose="020B0604020202020204" pitchFamily="34" charset="0"/>
              <a:cs typeface="Arial" panose="020B0604020202020204" pitchFamily="34" charset="0"/>
            </a:rPr>
            <a:t>N2</a:t>
          </a: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 loading 	= 2	(0.5 and 5 mol%)</a:t>
          </a:r>
        </a:p>
        <a:p>
          <a:pPr>
            <a:lnSpc>
              <a:spcPct val="150000"/>
            </a:lnSpc>
          </a:pP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Temperature	= 3 	(0 ºC)</a:t>
          </a:r>
        </a:p>
        <a:p>
          <a:pPr>
            <a:lnSpc>
              <a:spcPct val="150000"/>
            </a:lnSpc>
          </a:pP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[concentration]	= 3	(0.01</a:t>
          </a:r>
          <a:r>
            <a:rPr lang="ca-ES" sz="1400" baseline="0">
              <a:latin typeface="Arial" panose="020B0604020202020204" pitchFamily="34" charset="0"/>
              <a:cs typeface="Arial" panose="020B0604020202020204" pitchFamily="34" charset="0"/>
            </a:rPr>
            <a:t> and 1.0</a:t>
          </a: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 M)</a:t>
          </a:r>
        </a:p>
        <a:p>
          <a:pPr>
            <a:lnSpc>
              <a:spcPct val="150000"/>
            </a:lnSpc>
          </a:pPr>
          <a:r>
            <a:rPr lang="ca-ES" sz="1400" i="1">
              <a:latin typeface="Arial" panose="020B0604020202020204" pitchFamily="34" charset="0"/>
              <a:cs typeface="Arial" panose="020B0604020202020204" pitchFamily="34" charset="0"/>
            </a:rPr>
            <a:t>Hot-encoded</a:t>
          </a: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 DIPEA	= 2	(use of organic base)</a:t>
          </a:r>
        </a:p>
        <a:p>
          <a:pPr>
            <a:lnSpc>
              <a:spcPct val="150000"/>
            </a:lnSpc>
          </a:pPr>
          <a:r>
            <a:rPr lang="ca-ES" sz="1400" i="1">
              <a:latin typeface="Arial" panose="020B0604020202020204" pitchFamily="34" charset="0"/>
              <a:cs typeface="Arial" panose="020B0604020202020204" pitchFamily="34" charset="0"/>
            </a:rPr>
            <a:t>Hot-encoded</a:t>
          </a: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 solvent 	= 2 	(ACN vs ACN/H</a:t>
          </a:r>
          <a:r>
            <a:rPr lang="ca-ES" sz="1400" baseline="-25000">
              <a:latin typeface="Arial" panose="020B0604020202020204" pitchFamily="34" charset="0"/>
              <a:cs typeface="Arial" panose="020B0604020202020204" pitchFamily="34" charset="0"/>
            </a:rPr>
            <a:t>2</a:t>
          </a: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O 9:1)</a:t>
          </a:r>
        </a:p>
        <a:p>
          <a:pPr>
            <a:lnSpc>
              <a:spcPct val="150000"/>
            </a:lnSpc>
          </a:pPr>
          <a:endParaRPr lang="ca-ES" sz="140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ct val="150000"/>
            </a:lnSpc>
          </a:pPr>
          <a:r>
            <a:rPr lang="ca-ES" sz="1400" u="sng">
              <a:latin typeface="Arial" panose="020B0604020202020204" pitchFamily="34" charset="0"/>
              <a:cs typeface="Arial" panose="020B0604020202020204" pitchFamily="34" charset="0"/>
            </a:rPr>
            <a:t>10 x 13 x 2 x 3 x 3 x 2 x 2	= 9360</a:t>
          </a:r>
        </a:p>
        <a:p>
          <a:pPr>
            <a:lnSpc>
              <a:spcPct val="150000"/>
            </a:lnSpc>
          </a:pPr>
          <a:r>
            <a:rPr lang="ca-ES" sz="1400">
              <a:latin typeface="Arial" panose="020B0604020202020204" pitchFamily="34" charset="0"/>
              <a:cs typeface="Arial" panose="020B0604020202020204" pitchFamily="34" charset="0"/>
            </a:rPr>
            <a:t>		</a:t>
          </a:r>
          <a:r>
            <a:rPr lang="ca-ES" sz="1400" i="1">
              <a:latin typeface="Arial" panose="020B0604020202020204" pitchFamily="34" charset="0"/>
              <a:cs typeface="Arial" panose="020B0604020202020204" pitchFamily="34" charset="0"/>
            </a:rPr>
            <a:t>or 8640 dropping one L</a:t>
          </a:r>
          <a:r>
            <a:rPr lang="ca-ES" sz="1400" i="1" baseline="-25000">
              <a:latin typeface="Arial" panose="020B0604020202020204" pitchFamily="34" charset="0"/>
              <a:cs typeface="Arial" panose="020B0604020202020204" pitchFamily="34" charset="0"/>
            </a:rPr>
            <a:t>N2 </a:t>
          </a:r>
          <a:r>
            <a:rPr lang="ca-ES" sz="1400" i="1">
              <a:latin typeface="Arial" panose="020B0604020202020204" pitchFamily="34" charset="0"/>
              <a:cs typeface="Arial" panose="020B0604020202020204" pitchFamily="34" charset="0"/>
            </a:rPr>
            <a:t>ligand</a:t>
          </a:r>
          <a:endParaRPr lang="en-US" sz="140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FD7E-D181-42D7-A6F0-D4B4737AA61F}">
  <dimension ref="A1:E10"/>
  <sheetViews>
    <sheetView zoomScale="115" zoomScaleNormal="115" workbookViewId="0">
      <selection activeCell="B1" sqref="B1"/>
    </sheetView>
  </sheetViews>
  <sheetFormatPr baseColWidth="10" defaultRowHeight="15" x14ac:dyDescent="0.25"/>
  <cols>
    <col min="1" max="1" width="12.42578125" bestFit="1" customWidth="1"/>
    <col min="3" max="3" width="15.42578125" bestFit="1" customWidth="1"/>
    <col min="5" max="5" width="13.7109375" customWidth="1"/>
  </cols>
  <sheetData>
    <row r="1" spans="1:5" ht="22.5" customHeight="1" x14ac:dyDescent="0.25">
      <c r="A1" s="1" t="s">
        <v>0</v>
      </c>
      <c r="B1" s="1" t="s">
        <v>1</v>
      </c>
      <c r="C1" s="1" t="s">
        <v>20</v>
      </c>
      <c r="D1" s="1"/>
      <c r="E1" s="1"/>
    </row>
    <row r="2" spans="1:5" x14ac:dyDescent="0.25">
      <c r="A2" t="s">
        <v>2</v>
      </c>
      <c r="B2">
        <v>77</v>
      </c>
      <c r="C2">
        <v>100</v>
      </c>
    </row>
    <row r="3" spans="1:5" x14ac:dyDescent="0.25">
      <c r="A3" t="s">
        <v>17</v>
      </c>
      <c r="B3">
        <v>77</v>
      </c>
      <c r="C3">
        <v>100</v>
      </c>
    </row>
    <row r="4" spans="1:5" x14ac:dyDescent="0.25">
      <c r="A4" t="s">
        <v>13</v>
      </c>
      <c r="B4">
        <v>44</v>
      </c>
      <c r="C4">
        <v>91</v>
      </c>
    </row>
    <row r="5" spans="1:5" x14ac:dyDescent="0.25">
      <c r="A5" t="s">
        <v>14</v>
      </c>
      <c r="B5">
        <v>78</v>
      </c>
      <c r="C5">
        <v>100</v>
      </c>
    </row>
    <row r="6" spans="1:5" x14ac:dyDescent="0.25">
      <c r="A6" t="s">
        <v>15</v>
      </c>
      <c r="B6">
        <v>70</v>
      </c>
      <c r="C6">
        <v>93</v>
      </c>
    </row>
    <row r="7" spans="1:5" ht="18" x14ac:dyDescent="0.35">
      <c r="A7" t="s">
        <v>18</v>
      </c>
      <c r="B7">
        <v>2</v>
      </c>
      <c r="C7">
        <v>100</v>
      </c>
    </row>
    <row r="8" spans="1:5" ht="18" x14ac:dyDescent="0.35">
      <c r="A8" t="s">
        <v>19</v>
      </c>
      <c r="B8">
        <v>9</v>
      </c>
      <c r="C8">
        <v>100</v>
      </c>
    </row>
    <row r="9" spans="1:5" ht="18" x14ac:dyDescent="0.35">
      <c r="A9" t="s">
        <v>23</v>
      </c>
      <c r="B9">
        <v>78</v>
      </c>
      <c r="C9">
        <v>100</v>
      </c>
    </row>
    <row r="10" spans="1:5" x14ac:dyDescent="0.25">
      <c r="A10" t="s">
        <v>16</v>
      </c>
      <c r="B10">
        <v>42</v>
      </c>
      <c r="C10">
        <v>78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59A8-43E5-48F1-8065-6D39F1DE6710}">
  <dimension ref="A1:C10"/>
  <sheetViews>
    <sheetView tabSelected="1" workbookViewId="0">
      <selection activeCell="A9" sqref="A9"/>
    </sheetView>
  </sheetViews>
  <sheetFormatPr baseColWidth="10" defaultRowHeight="15" x14ac:dyDescent="0.25"/>
  <cols>
    <col min="3" max="3" width="16.7109375" bestFit="1" customWidth="1"/>
  </cols>
  <sheetData>
    <row r="1" spans="1:3" x14ac:dyDescent="0.25">
      <c r="A1" s="1" t="s">
        <v>0</v>
      </c>
      <c r="B1" s="1" t="s">
        <v>21</v>
      </c>
      <c r="C1" t="s">
        <v>22</v>
      </c>
    </row>
    <row r="2" spans="1:3" x14ac:dyDescent="0.25">
      <c r="A2" t="s">
        <v>2</v>
      </c>
      <c r="B2">
        <v>42</v>
      </c>
      <c r="C2" s="5">
        <f>23</f>
        <v>23</v>
      </c>
    </row>
    <row r="3" spans="1:3" x14ac:dyDescent="0.25">
      <c r="A3" t="s">
        <v>17</v>
      </c>
      <c r="B3">
        <v>34</v>
      </c>
      <c r="C3" s="5">
        <f>19</f>
        <v>19</v>
      </c>
    </row>
    <row r="4" spans="1:3" x14ac:dyDescent="0.25">
      <c r="A4" t="s">
        <v>13</v>
      </c>
      <c r="B4">
        <v>26</v>
      </c>
      <c r="C4" s="5">
        <f>15</f>
        <v>15</v>
      </c>
    </row>
    <row r="5" spans="1:3" x14ac:dyDescent="0.25">
      <c r="A5" t="s">
        <v>14</v>
      </c>
      <c r="B5">
        <v>37</v>
      </c>
      <c r="C5" s="5">
        <f>18</f>
        <v>18</v>
      </c>
    </row>
    <row r="6" spans="1:3" x14ac:dyDescent="0.25">
      <c r="A6" t="s">
        <v>15</v>
      </c>
      <c r="B6">
        <v>33</v>
      </c>
      <c r="C6" s="5">
        <f>18</f>
        <v>18</v>
      </c>
    </row>
    <row r="7" spans="1:3" ht="18" x14ac:dyDescent="0.35">
      <c r="A7" t="s">
        <v>18</v>
      </c>
      <c r="B7">
        <v>0</v>
      </c>
      <c r="C7" s="5">
        <v>23</v>
      </c>
    </row>
    <row r="8" spans="1:3" ht="18" x14ac:dyDescent="0.35">
      <c r="A8" t="s">
        <v>19</v>
      </c>
      <c r="B8">
        <v>1</v>
      </c>
      <c r="C8" s="5">
        <f>19</f>
        <v>19</v>
      </c>
    </row>
    <row r="9" spans="1:3" ht="18" x14ac:dyDescent="0.35">
      <c r="A9" t="s">
        <v>23</v>
      </c>
      <c r="B9">
        <v>30</v>
      </c>
      <c r="C9" s="5">
        <v>26</v>
      </c>
    </row>
    <row r="10" spans="1:3" x14ac:dyDescent="0.25">
      <c r="A10" t="s">
        <v>16</v>
      </c>
      <c r="B10">
        <v>0</v>
      </c>
      <c r="C10" s="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C799-EB95-4479-B60C-34129B5FFA65}">
  <dimension ref="A1:C10"/>
  <sheetViews>
    <sheetView workbookViewId="0">
      <selection activeCell="B1" sqref="B1"/>
    </sheetView>
  </sheetViews>
  <sheetFormatPr baseColWidth="10" defaultRowHeight="15" x14ac:dyDescent="0.25"/>
  <cols>
    <col min="1" max="1" width="12.42578125" bestFit="1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t="s">
        <v>2</v>
      </c>
      <c r="B2">
        <v>76</v>
      </c>
    </row>
    <row r="3" spans="1:3" x14ac:dyDescent="0.25">
      <c r="A3" t="s">
        <v>17</v>
      </c>
      <c r="B3">
        <v>77</v>
      </c>
    </row>
    <row r="4" spans="1:3" x14ac:dyDescent="0.25">
      <c r="A4" t="s">
        <v>13</v>
      </c>
      <c r="B4">
        <v>54</v>
      </c>
    </row>
    <row r="5" spans="1:3" x14ac:dyDescent="0.25">
      <c r="A5" t="s">
        <v>14</v>
      </c>
      <c r="B5">
        <v>81</v>
      </c>
    </row>
    <row r="6" spans="1:3" x14ac:dyDescent="0.25">
      <c r="A6" t="s">
        <v>15</v>
      </c>
      <c r="B6">
        <v>77</v>
      </c>
    </row>
    <row r="7" spans="1:3" ht="18" x14ac:dyDescent="0.35">
      <c r="A7" t="s">
        <v>18</v>
      </c>
      <c r="B7">
        <v>0</v>
      </c>
    </row>
    <row r="8" spans="1:3" ht="18" x14ac:dyDescent="0.35">
      <c r="A8" t="s">
        <v>19</v>
      </c>
      <c r="B8">
        <v>12</v>
      </c>
    </row>
    <row r="9" spans="1:3" ht="18" x14ac:dyDescent="0.35">
      <c r="A9" t="s">
        <v>23</v>
      </c>
      <c r="B9">
        <v>62</v>
      </c>
    </row>
    <row r="10" spans="1:3" x14ac:dyDescent="0.25">
      <c r="A10" t="s">
        <v>16</v>
      </c>
      <c r="B10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3F26-1B5A-4A00-96A5-F0D50372FC52}">
  <dimension ref="A1:D12"/>
  <sheetViews>
    <sheetView workbookViewId="0">
      <selection activeCell="G10" sqref="G10"/>
    </sheetView>
  </sheetViews>
  <sheetFormatPr baseColWidth="10" defaultRowHeight="15" x14ac:dyDescent="0.25"/>
  <sheetData>
    <row r="1" spans="1:4" x14ac:dyDescent="0.25">
      <c r="A1" s="1" t="s">
        <v>0</v>
      </c>
      <c r="B1" s="3" t="s">
        <v>1</v>
      </c>
      <c r="C1" s="3" t="s">
        <v>11</v>
      </c>
      <c r="D1" s="3" t="s">
        <v>12</v>
      </c>
    </row>
    <row r="2" spans="1:4" x14ac:dyDescent="0.25">
      <c r="A2" s="4" t="s">
        <v>2</v>
      </c>
      <c r="B2" s="2">
        <v>82</v>
      </c>
    </row>
    <row r="3" spans="1:4" x14ac:dyDescent="0.25">
      <c r="A3" s="4" t="s">
        <v>3</v>
      </c>
      <c r="B3" s="2">
        <v>75</v>
      </c>
    </row>
    <row r="4" spans="1:4" x14ac:dyDescent="0.25">
      <c r="A4" s="4" t="s">
        <v>4</v>
      </c>
      <c r="B4" s="2">
        <v>30</v>
      </c>
    </row>
    <row r="5" spans="1:4" x14ac:dyDescent="0.25">
      <c r="A5" s="4" t="s">
        <v>5</v>
      </c>
      <c r="B5" s="2">
        <v>70</v>
      </c>
    </row>
    <row r="6" spans="1:4" x14ac:dyDescent="0.25">
      <c r="A6" s="4" t="s">
        <v>6</v>
      </c>
      <c r="B6" s="2">
        <v>84</v>
      </c>
    </row>
    <row r="7" spans="1:4" x14ac:dyDescent="0.25">
      <c r="A7" s="4" t="s">
        <v>7</v>
      </c>
      <c r="B7" s="2">
        <v>65</v>
      </c>
    </row>
    <row r="8" spans="1:4" x14ac:dyDescent="0.25">
      <c r="A8" s="4" t="s">
        <v>8</v>
      </c>
      <c r="B8" s="2">
        <v>45</v>
      </c>
    </row>
    <row r="9" spans="1:4" x14ac:dyDescent="0.25">
      <c r="A9" s="4" t="s">
        <v>9</v>
      </c>
      <c r="B9" s="2">
        <v>86</v>
      </c>
    </row>
    <row r="10" spans="1:4" x14ac:dyDescent="0.25">
      <c r="A10" s="4" t="s">
        <v>10</v>
      </c>
      <c r="B10" s="2">
        <v>72</v>
      </c>
    </row>
    <row r="11" spans="1:4" x14ac:dyDescent="0.25">
      <c r="A11" s="4"/>
      <c r="B11" s="2"/>
    </row>
    <row r="12" spans="1:4" x14ac:dyDescent="0.25">
      <c r="A12" s="4"/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Sheet1_C1</vt:lpstr>
      <vt:lpstr>Sheet1_C2</vt:lpstr>
      <vt:lpstr>Sheet1_C3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Alèria GR</dc:creator>
  <cp:lastModifiedBy>Alèria GR</cp:lastModifiedBy>
  <dcterms:created xsi:type="dcterms:W3CDTF">2026-06-04T20:45:39Z</dcterms:created>
  <dcterms:modified xsi:type="dcterms:W3CDTF">2026-08-24T05:13:29Z</dcterms:modified>
</cp:coreProperties>
</file>